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sha\source\repos\cs3dp_trajectory_paper_amjournal\data\"/>
    </mc:Choice>
  </mc:AlternateContent>
  <xr:revisionPtr revIDLastSave="0" documentId="13_ncr:1_{62BC9C4F-398B-4166-8AAD-7476038558CA}" xr6:coauthVersionLast="47" xr6:coauthVersionMax="47" xr10:uidLastSave="{00000000-0000-0000-0000-000000000000}"/>
  <bookViews>
    <workbookView xWindow="-103" yWindow="-103" windowWidth="33120" windowHeight="18000" xr2:uid="{19161B41-C3D0-4230-9A12-E3CEE8C64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7" i="1" l="1"/>
  <c r="H33" i="1"/>
  <c r="C27" i="1"/>
  <c r="C11" i="1"/>
  <c r="G11" i="1"/>
  <c r="H11" i="1"/>
  <c r="I27" i="1"/>
  <c r="E27" i="1"/>
  <c r="F27" i="1"/>
  <c r="G27" i="1"/>
  <c r="D27" i="1"/>
  <c r="E11" i="1"/>
  <c r="F11" i="1"/>
  <c r="I11" i="1"/>
  <c r="D11" i="1"/>
  <c r="I30" i="1"/>
  <c r="H30" i="1"/>
  <c r="G30" i="1"/>
  <c r="F30" i="1"/>
  <c r="E30" i="1"/>
  <c r="D30" i="1"/>
  <c r="I29" i="1"/>
  <c r="I31" i="1" s="1"/>
  <c r="H29" i="1"/>
  <c r="H31" i="1" s="1"/>
  <c r="G29" i="1"/>
  <c r="F29" i="1"/>
  <c r="E29" i="1"/>
  <c r="D29" i="1"/>
  <c r="E13" i="1"/>
  <c r="F13" i="1"/>
  <c r="G13" i="1"/>
  <c r="G15" i="1" s="1"/>
  <c r="H13" i="1"/>
  <c r="H15" i="1" s="1"/>
  <c r="I13" i="1"/>
  <c r="I15" i="1" s="1"/>
  <c r="E14" i="1"/>
  <c r="F14" i="1"/>
  <c r="G14" i="1"/>
  <c r="H14" i="1"/>
  <c r="I14" i="1"/>
  <c r="D14" i="1"/>
  <c r="D13" i="1"/>
  <c r="D15" i="1" s="1"/>
  <c r="F15" i="1" l="1"/>
  <c r="D31" i="1"/>
  <c r="D33" i="1"/>
  <c r="G31" i="1"/>
  <c r="I33" i="1"/>
  <c r="E15" i="1"/>
  <c r="E31" i="1"/>
  <c r="E33" i="1"/>
  <c r="F31" i="1"/>
  <c r="F33" i="1"/>
  <c r="D35" i="1"/>
  <c r="G33" i="1"/>
</calcChain>
</file>

<file path=xl/sharedStrings.xml><?xml version="1.0" encoding="utf-8"?>
<sst xmlns="http://schemas.openxmlformats.org/spreadsheetml/2006/main" count="34" uniqueCount="23">
  <si>
    <t>Testcase</t>
  </si>
  <si>
    <t>RMSE</t>
  </si>
  <si>
    <t>Mean</t>
  </si>
  <si>
    <t>Std</t>
  </si>
  <si>
    <t>&lt;10mm</t>
  </si>
  <si>
    <t>AboveTarget</t>
  </si>
  <si>
    <t>HeightVariation</t>
  </si>
  <si>
    <t>NoRebarDownAlt.</t>
  </si>
  <si>
    <t>NoRebarDownRet.</t>
  </si>
  <si>
    <t>NoRebarWalAlt.</t>
  </si>
  <si>
    <t>NRebarWallRet.</t>
  </si>
  <si>
    <t>RebarDownAlt.</t>
  </si>
  <si>
    <t>RebarDownRet.</t>
  </si>
  <si>
    <t>RebarWallAlt.</t>
  </si>
  <si>
    <t>RebarWallRet.</t>
  </si>
  <si>
    <t xml:space="preserve">Alternating </t>
  </si>
  <si>
    <t>Retracing</t>
  </si>
  <si>
    <t>Sim</t>
  </si>
  <si>
    <t>Real</t>
  </si>
  <si>
    <t>Sim2Real</t>
  </si>
  <si>
    <t>Alt to Ret</t>
  </si>
  <si>
    <t>N pts</t>
  </si>
  <si>
    <t xml:space="preserve"> N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</si>
</sst>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0.0"/>
  </numFmts>
  <fonts count="3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0" fontId="0" fillId="3" borderId="1" xfId="0" applyFill="1" applyBorder="1"/>
    <xf numFmtId="0" fontId="1" fillId="3" borderId="1" xfId="0" applyFont="1" applyFill="1" applyBorder="1"/>
    <xf numFmtId="2" fontId="0" fillId="3" borderId="1" xfId="0" applyNumberFormat="1" applyFill="1" applyBorder="1"/>
    <xf numFmtId="167" fontId="0" fillId="3" borderId="1" xfId="0" applyNumberFormat="1" applyFill="1" applyBorder="1"/>
    <xf numFmtId="0" fontId="0" fillId="4" borderId="1" xfId="0" applyFill="1" applyBorder="1"/>
    <xf numFmtId="2" fontId="0" fillId="4" borderId="1" xfId="0" applyNumberFormat="1" applyFill="1" applyBorder="1"/>
    <xf numFmtId="164" fontId="0" fillId="4" borderId="1" xfId="0" applyNumberFormat="1" applyFill="1" applyBorder="1"/>
    <xf numFmtId="0" fontId="0" fillId="0" borderId="0" xfId="0" applyFill="1" applyBorder="1"/>
    <xf numFmtId="164" fontId="0" fillId="0" borderId="0" xfId="0" applyNumberForma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7CF1-7387-4E72-8822-AAF5BF18276C}">
  <dimension ref="A1:I35"/>
  <sheetViews>
    <sheetView tabSelected="1" workbookViewId="0">
      <selection activeCell="H27" sqref="H27"/>
    </sheetView>
  </sheetViews>
  <sheetFormatPr defaultRowHeight="14.6" x14ac:dyDescent="0.4"/>
  <cols>
    <col min="2" max="3" width="16.15234375" customWidth="1"/>
    <col min="8" max="8" width="12.4609375" customWidth="1"/>
    <col min="9" max="9" width="13.4609375" bestFit="1" customWidth="1"/>
  </cols>
  <sheetData>
    <row r="1" spans="1:9" x14ac:dyDescent="0.4">
      <c r="A1" s="13" t="s">
        <v>17</v>
      </c>
      <c r="B1" s="1"/>
      <c r="C1" s="1"/>
      <c r="D1" s="1"/>
      <c r="E1" s="1"/>
      <c r="F1" s="1"/>
      <c r="G1" s="1"/>
      <c r="H1" s="1"/>
      <c r="I1" s="1"/>
    </row>
    <row r="2" spans="1:9" x14ac:dyDescent="0.4">
      <c r="A2" s="1"/>
      <c r="B2" s="1" t="s">
        <v>0</v>
      </c>
      <c r="C2" s="1" t="s">
        <v>21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x14ac:dyDescent="0.4">
      <c r="A3" s="1"/>
      <c r="B3" s="1" t="s">
        <v>7</v>
      </c>
      <c r="C3" s="1">
        <v>25683</v>
      </c>
      <c r="D3" s="1">
        <v>6.26</v>
      </c>
      <c r="E3" s="1">
        <v>3.52</v>
      </c>
      <c r="F3" s="1">
        <v>5.17</v>
      </c>
      <c r="G3" s="1">
        <v>88.7</v>
      </c>
      <c r="H3" s="1">
        <v>69</v>
      </c>
      <c r="I3" s="2">
        <v>106.19280000000001</v>
      </c>
    </row>
    <row r="4" spans="1:9" x14ac:dyDescent="0.4">
      <c r="A4" s="1"/>
      <c r="B4" s="1" t="s">
        <v>8</v>
      </c>
      <c r="C4" s="1">
        <v>25503</v>
      </c>
      <c r="D4" s="1">
        <v>10.56</v>
      </c>
      <c r="E4" s="1">
        <v>9.06</v>
      </c>
      <c r="F4" s="1">
        <v>5.43</v>
      </c>
      <c r="G4" s="1">
        <v>53.6</v>
      </c>
      <c r="H4" s="1">
        <v>94.3</v>
      </c>
      <c r="I4" s="2">
        <v>109.4859</v>
      </c>
    </row>
    <row r="5" spans="1:9" x14ac:dyDescent="0.4">
      <c r="A5" s="1"/>
      <c r="B5" s="1" t="s">
        <v>9</v>
      </c>
      <c r="C5" s="1">
        <v>17145</v>
      </c>
      <c r="D5" s="1">
        <v>12.93</v>
      </c>
      <c r="E5" s="1">
        <v>11.12</v>
      </c>
      <c r="F5" s="1">
        <v>6.6</v>
      </c>
      <c r="G5" s="1">
        <v>46</v>
      </c>
      <c r="H5" s="1">
        <v>97.2</v>
      </c>
      <c r="I5" s="2">
        <v>110.6574</v>
      </c>
    </row>
    <row r="6" spans="1:9" x14ac:dyDescent="0.4">
      <c r="A6" s="1"/>
      <c r="B6" s="1" t="s">
        <v>10</v>
      </c>
      <c r="C6" s="1">
        <v>17440</v>
      </c>
      <c r="D6" s="1">
        <v>8.9</v>
      </c>
      <c r="E6" s="1">
        <v>6.95</v>
      </c>
      <c r="F6" s="1">
        <v>5.56</v>
      </c>
      <c r="G6" s="1">
        <v>66.5</v>
      </c>
      <c r="H6" s="1">
        <v>87.9</v>
      </c>
      <c r="I6" s="2">
        <v>108.2865</v>
      </c>
    </row>
    <row r="7" spans="1:9" x14ac:dyDescent="0.4">
      <c r="A7" s="1"/>
      <c r="B7" s="1" t="s">
        <v>11</v>
      </c>
      <c r="C7" s="1">
        <v>19336</v>
      </c>
      <c r="D7" s="1">
        <v>8.4499999999999993</v>
      </c>
      <c r="E7" s="1">
        <v>7.63</v>
      </c>
      <c r="F7" s="1">
        <v>3.65</v>
      </c>
      <c r="G7" s="1">
        <v>75.5</v>
      </c>
      <c r="H7" s="1">
        <v>97.6</v>
      </c>
      <c r="I7" s="2">
        <v>112.3519</v>
      </c>
    </row>
    <row r="8" spans="1:9" x14ac:dyDescent="0.4">
      <c r="A8" s="1"/>
      <c r="B8" s="1" t="s">
        <v>12</v>
      </c>
      <c r="C8" s="1">
        <v>19950</v>
      </c>
      <c r="D8" s="1">
        <v>16.809999999999999</v>
      </c>
      <c r="E8" s="1">
        <v>15.94</v>
      </c>
      <c r="F8" s="1">
        <v>5.34</v>
      </c>
      <c r="G8" s="1">
        <v>13.2</v>
      </c>
      <c r="H8" s="1">
        <v>99.3</v>
      </c>
      <c r="I8" s="2">
        <v>117.9507</v>
      </c>
    </row>
    <row r="9" spans="1:9" x14ac:dyDescent="0.4">
      <c r="A9" s="1"/>
      <c r="B9" s="1" t="s">
        <v>13</v>
      </c>
      <c r="C9" s="1">
        <v>14687</v>
      </c>
      <c r="D9" s="1">
        <v>9.16</v>
      </c>
      <c r="E9" s="1">
        <v>7.59</v>
      </c>
      <c r="F9" s="1">
        <v>5.12</v>
      </c>
      <c r="G9" s="1">
        <v>72.5</v>
      </c>
      <c r="H9" s="1">
        <v>93.6</v>
      </c>
      <c r="I9" s="2">
        <v>117.8296</v>
      </c>
    </row>
    <row r="10" spans="1:9" x14ac:dyDescent="0.4">
      <c r="A10" s="1"/>
      <c r="B10" s="1" t="s">
        <v>14</v>
      </c>
      <c r="C10" s="1">
        <v>14511</v>
      </c>
      <c r="D10" s="1">
        <v>14.32</v>
      </c>
      <c r="E10" s="1">
        <v>13.37</v>
      </c>
      <c r="F10" s="1">
        <v>5.13</v>
      </c>
      <c r="G10" s="1">
        <v>24</v>
      </c>
      <c r="H10" s="1">
        <v>98.4</v>
      </c>
      <c r="I10" s="2">
        <v>117.8535</v>
      </c>
    </row>
    <row r="11" spans="1:9" x14ac:dyDescent="0.4">
      <c r="A11" s="1"/>
      <c r="B11" s="1"/>
      <c r="C11" s="2">
        <f>AVERAGE(C3:C10)</f>
        <v>19281.875</v>
      </c>
      <c r="D11" s="2">
        <f>AVERAGE(D3:D10)</f>
        <v>10.923749999999998</v>
      </c>
      <c r="E11" s="2">
        <f t="shared" ref="E11:I11" si="0">AVERAGE(E3:E10)</f>
        <v>9.3975000000000009</v>
      </c>
      <c r="F11" s="2">
        <f t="shared" si="0"/>
        <v>5.25</v>
      </c>
      <c r="G11" s="2">
        <f>AVERAGE(G3:G10)</f>
        <v>55</v>
      </c>
      <c r="H11" s="2">
        <f>AVERAGE(H3:H10)</f>
        <v>92.162499999999994</v>
      </c>
      <c r="I11" s="2">
        <f t="shared" si="0"/>
        <v>112.57603750000001</v>
      </c>
    </row>
    <row r="12" spans="1:9" x14ac:dyDescent="0.4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4">
      <c r="A13" s="1"/>
      <c r="B13" s="1" t="s">
        <v>15</v>
      </c>
      <c r="C13" s="1"/>
      <c r="D13" s="3">
        <f>AVERAGE(D3,D5,D7,D9)</f>
        <v>9.1999999999999993</v>
      </c>
      <c r="E13" s="3">
        <f t="shared" ref="E13:I13" si="1">AVERAGE(E3,E5,E7,E9)</f>
        <v>7.4649999999999999</v>
      </c>
      <c r="F13" s="3">
        <f t="shared" si="1"/>
        <v>5.1349999999999998</v>
      </c>
      <c r="G13" s="3">
        <f t="shared" si="1"/>
        <v>70.674999999999997</v>
      </c>
      <c r="H13" s="3">
        <f t="shared" si="1"/>
        <v>89.35</v>
      </c>
      <c r="I13" s="3">
        <f t="shared" si="1"/>
        <v>111.757925</v>
      </c>
    </row>
    <row r="14" spans="1:9" x14ac:dyDescent="0.4">
      <c r="A14" s="1"/>
      <c r="B14" s="1" t="s">
        <v>16</v>
      </c>
      <c r="C14" s="1"/>
      <c r="D14" s="3">
        <f>AVERAGE(D4,D6,D8,D10)</f>
        <v>12.647499999999999</v>
      </c>
      <c r="E14" s="3">
        <f t="shared" ref="E14:I14" si="2">AVERAGE(E4,E6,E8,E10)</f>
        <v>11.33</v>
      </c>
      <c r="F14" s="3">
        <f t="shared" si="2"/>
        <v>5.3649999999999993</v>
      </c>
      <c r="G14" s="3">
        <f t="shared" si="2"/>
        <v>39.324999999999996</v>
      </c>
      <c r="H14" s="3">
        <f t="shared" si="2"/>
        <v>94.974999999999994</v>
      </c>
      <c r="I14" s="3">
        <f t="shared" si="2"/>
        <v>113.39415</v>
      </c>
    </row>
    <row r="15" spans="1:9" x14ac:dyDescent="0.4">
      <c r="A15" s="1"/>
      <c r="B15" s="1"/>
      <c r="C15" s="1"/>
      <c r="D15" s="3">
        <f>D13-D14</f>
        <v>-3.4474999999999998</v>
      </c>
      <c r="E15" s="3">
        <f t="shared" ref="E15:I15" si="3">E13-E14</f>
        <v>-3.8650000000000002</v>
      </c>
      <c r="F15" s="3">
        <f t="shared" si="3"/>
        <v>-0.22999999999999954</v>
      </c>
      <c r="G15" s="3">
        <f t="shared" si="3"/>
        <v>31.35</v>
      </c>
      <c r="H15" s="3">
        <f t="shared" si="3"/>
        <v>-5.625</v>
      </c>
      <c r="I15" s="3">
        <f t="shared" si="3"/>
        <v>-1.636224999999996</v>
      </c>
    </row>
    <row r="16" spans="1:9" x14ac:dyDescent="0.4">
      <c r="A16" s="11"/>
      <c r="B16" s="11"/>
      <c r="C16" s="11"/>
      <c r="D16" s="12"/>
      <c r="E16" s="12"/>
      <c r="F16" s="12"/>
      <c r="G16" s="12"/>
      <c r="H16" s="12"/>
      <c r="I16" s="12"/>
    </row>
    <row r="17" spans="1:9" x14ac:dyDescent="0.4">
      <c r="A17" s="14" t="s">
        <v>18</v>
      </c>
      <c r="B17" s="4"/>
      <c r="C17" s="4"/>
      <c r="D17" s="4"/>
      <c r="E17" s="4"/>
      <c r="F17" s="4"/>
      <c r="G17" s="4"/>
      <c r="H17" s="4"/>
      <c r="I17" s="4"/>
    </row>
    <row r="18" spans="1:9" x14ac:dyDescent="0.4">
      <c r="A18" s="4"/>
      <c r="B18" s="4" t="s">
        <v>0</v>
      </c>
      <c r="C18" s="4" t="s">
        <v>22</v>
      </c>
      <c r="D18" s="4"/>
      <c r="E18" s="4"/>
      <c r="F18" s="4"/>
      <c r="G18" s="4"/>
      <c r="H18" s="4"/>
      <c r="I18" s="4"/>
    </row>
    <row r="19" spans="1:9" x14ac:dyDescent="0.4">
      <c r="A19" s="4"/>
      <c r="B19" s="4" t="s">
        <v>7</v>
      </c>
      <c r="C19" s="4">
        <v>103303</v>
      </c>
      <c r="D19" s="4">
        <v>21</v>
      </c>
      <c r="E19" s="4">
        <v>14.14</v>
      </c>
      <c r="F19" s="4">
        <v>15.53</v>
      </c>
      <c r="G19" s="4">
        <v>59.5</v>
      </c>
      <c r="H19" s="4">
        <v>23.8</v>
      </c>
      <c r="I19" s="4">
        <v>37.78</v>
      </c>
    </row>
    <row r="20" spans="1:9" x14ac:dyDescent="0.4">
      <c r="A20" s="4"/>
      <c r="B20" s="4" t="s">
        <v>8</v>
      </c>
      <c r="C20" s="4">
        <v>58145</v>
      </c>
      <c r="D20" s="4">
        <v>18.850000000000001</v>
      </c>
      <c r="E20" s="4">
        <v>13.51</v>
      </c>
      <c r="F20" s="4">
        <v>13.14</v>
      </c>
      <c r="G20" s="4">
        <v>58.7</v>
      </c>
      <c r="H20" s="4">
        <v>39.6</v>
      </c>
      <c r="I20" s="4">
        <v>41.91</v>
      </c>
    </row>
    <row r="21" spans="1:9" x14ac:dyDescent="0.4">
      <c r="A21" s="4"/>
      <c r="B21" s="4" t="s">
        <v>9</v>
      </c>
      <c r="C21" s="4">
        <v>80694</v>
      </c>
      <c r="D21" s="4">
        <v>17.13</v>
      </c>
      <c r="E21" s="4">
        <v>14.86</v>
      </c>
      <c r="F21" s="4">
        <v>8.5299999999999994</v>
      </c>
      <c r="G21" s="4">
        <v>32</v>
      </c>
      <c r="H21" s="4">
        <v>75.099999999999994</v>
      </c>
      <c r="I21" s="4">
        <v>94.57</v>
      </c>
    </row>
    <row r="22" spans="1:9" x14ac:dyDescent="0.4">
      <c r="A22" s="4"/>
      <c r="B22" s="4" t="s">
        <v>10</v>
      </c>
      <c r="C22" s="4">
        <v>39622</v>
      </c>
      <c r="D22" s="4">
        <v>12.62</v>
      </c>
      <c r="E22" s="4">
        <v>10.81</v>
      </c>
      <c r="F22" s="4">
        <v>6.51</v>
      </c>
      <c r="G22" s="4">
        <v>46.9</v>
      </c>
      <c r="H22" s="4">
        <v>67.099999999999994</v>
      </c>
      <c r="I22" s="4">
        <v>91.29</v>
      </c>
    </row>
    <row r="23" spans="1:9" x14ac:dyDescent="0.4">
      <c r="A23" s="4"/>
      <c r="B23" s="4" t="s">
        <v>11</v>
      </c>
      <c r="C23" s="4">
        <v>71943</v>
      </c>
      <c r="D23" s="4">
        <v>23.01</v>
      </c>
      <c r="E23" s="4">
        <v>16.5</v>
      </c>
      <c r="F23" s="4">
        <v>16.04</v>
      </c>
      <c r="G23" s="4">
        <v>49.4</v>
      </c>
      <c r="H23" s="4">
        <v>11.5</v>
      </c>
      <c r="I23" s="4">
        <v>46.77</v>
      </c>
    </row>
    <row r="24" spans="1:9" x14ac:dyDescent="0.4">
      <c r="A24" s="4"/>
      <c r="B24" s="4" t="s">
        <v>12</v>
      </c>
      <c r="C24" s="4">
        <v>48835</v>
      </c>
      <c r="D24" s="4">
        <v>19.829999999999998</v>
      </c>
      <c r="E24" s="4">
        <v>14.32</v>
      </c>
      <c r="F24" s="4">
        <v>13.72</v>
      </c>
      <c r="G24" s="4">
        <v>51.6</v>
      </c>
      <c r="H24" s="4">
        <v>37.1</v>
      </c>
      <c r="I24" s="4">
        <v>43.8</v>
      </c>
    </row>
    <row r="25" spans="1:9" x14ac:dyDescent="0.4">
      <c r="A25" s="4"/>
      <c r="B25" s="4" t="s">
        <v>13</v>
      </c>
      <c r="C25" s="4">
        <v>47679</v>
      </c>
      <c r="D25" s="4">
        <v>16.8</v>
      </c>
      <c r="E25" s="4">
        <v>13.24</v>
      </c>
      <c r="F25" s="4">
        <v>10.34</v>
      </c>
      <c r="G25" s="4">
        <v>46.1</v>
      </c>
      <c r="H25" s="4">
        <v>45.6</v>
      </c>
      <c r="I25" s="4">
        <v>103.15</v>
      </c>
    </row>
    <row r="26" spans="1:9" x14ac:dyDescent="0.4">
      <c r="A26" s="4"/>
      <c r="B26" s="4" t="s">
        <v>14</v>
      </c>
      <c r="C26" s="4">
        <v>40923</v>
      </c>
      <c r="D26" s="5">
        <v>34.99</v>
      </c>
      <c r="E26" s="5">
        <v>27.8</v>
      </c>
      <c r="F26" s="5">
        <v>21.25</v>
      </c>
      <c r="G26" s="5">
        <v>22.2</v>
      </c>
      <c r="H26" s="5">
        <v>46.5</v>
      </c>
      <c r="I26" s="5">
        <v>145.04</v>
      </c>
    </row>
    <row r="27" spans="1:9" x14ac:dyDescent="0.4">
      <c r="A27" s="4"/>
      <c r="B27" s="4"/>
      <c r="C27" s="6">
        <f>AVERAGE(C19:C25)</f>
        <v>64317.285714285717</v>
      </c>
      <c r="D27" s="6">
        <f>AVERAGE(D19:D25)</f>
        <v>18.462857142857143</v>
      </c>
      <c r="E27" s="6">
        <f t="shared" ref="E27:G27" si="4">AVERAGE(E19:E25)</f>
        <v>13.911428571428569</v>
      </c>
      <c r="F27" s="6">
        <f t="shared" si="4"/>
        <v>11.972857142857142</v>
      </c>
      <c r="G27" s="6">
        <f t="shared" si="4"/>
        <v>49.171428571428578</v>
      </c>
      <c r="H27" s="6">
        <f>AVERAGE(H19:H25)</f>
        <v>42.828571428571429</v>
      </c>
      <c r="I27" s="6">
        <f>AVERAGE(I19:I25)</f>
        <v>65.61</v>
      </c>
    </row>
    <row r="28" spans="1:9" x14ac:dyDescent="0.4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4">
      <c r="A29" s="4"/>
      <c r="B29" s="4" t="s">
        <v>15</v>
      </c>
      <c r="C29" s="4"/>
      <c r="D29" s="7">
        <f>AVERAGE(D19,D21,D23,D25)</f>
        <v>19.484999999999999</v>
      </c>
      <c r="E29" s="7">
        <f t="shared" ref="E29:I29" si="5">AVERAGE(E19,E21,E23,E25)</f>
        <v>14.685</v>
      </c>
      <c r="F29" s="7">
        <f t="shared" si="5"/>
        <v>12.61</v>
      </c>
      <c r="G29" s="7">
        <f t="shared" si="5"/>
        <v>46.75</v>
      </c>
      <c r="H29" s="7">
        <f t="shared" si="5"/>
        <v>39</v>
      </c>
      <c r="I29" s="7">
        <f t="shared" si="5"/>
        <v>70.567499999999995</v>
      </c>
    </row>
    <row r="30" spans="1:9" x14ac:dyDescent="0.4">
      <c r="A30" s="4"/>
      <c r="B30" s="4" t="s">
        <v>16</v>
      </c>
      <c r="C30" s="4"/>
      <c r="D30" s="7">
        <f>AVERAGE(D20,D22,D24,D26)</f>
        <v>21.572499999999998</v>
      </c>
      <c r="E30" s="7">
        <f t="shared" ref="E30:I30" si="6">AVERAGE(E20,E22,E24,E26)</f>
        <v>16.61</v>
      </c>
      <c r="F30" s="7">
        <f t="shared" si="6"/>
        <v>13.654999999999999</v>
      </c>
      <c r="G30" s="7">
        <f t="shared" si="6"/>
        <v>44.849999999999994</v>
      </c>
      <c r="H30" s="7">
        <f t="shared" si="6"/>
        <v>47.574999999999996</v>
      </c>
      <c r="I30" s="7">
        <f t="shared" si="6"/>
        <v>80.509999999999991</v>
      </c>
    </row>
    <row r="31" spans="1:9" x14ac:dyDescent="0.4">
      <c r="A31" s="4"/>
      <c r="B31" s="4"/>
      <c r="C31" s="4"/>
      <c r="D31" s="7">
        <f>ABS(D29-D30)</f>
        <v>2.0874999999999986</v>
      </c>
      <c r="E31" s="7">
        <f t="shared" ref="E31:I31" si="7">ABS(E29-E30)</f>
        <v>1.9249999999999989</v>
      </c>
      <c r="F31" s="7">
        <f t="shared" si="7"/>
        <v>1.0449999999999999</v>
      </c>
      <c r="G31" s="7">
        <f t="shared" si="7"/>
        <v>1.9000000000000057</v>
      </c>
      <c r="H31" s="7">
        <f t="shared" si="7"/>
        <v>8.5749999999999957</v>
      </c>
      <c r="I31" s="7">
        <f t="shared" si="7"/>
        <v>9.9424999999999955</v>
      </c>
    </row>
    <row r="33" spans="1:9" x14ac:dyDescent="0.4">
      <c r="A33" s="15" t="s">
        <v>19</v>
      </c>
      <c r="B33" s="8"/>
      <c r="C33" s="8"/>
      <c r="D33" s="9">
        <f>D27-D11</f>
        <v>7.5391071428571443</v>
      </c>
      <c r="E33" s="9">
        <f t="shared" ref="E33:I33" si="8">E27-E11</f>
        <v>4.5139285714285684</v>
      </c>
      <c r="F33" s="9">
        <f t="shared" si="8"/>
        <v>6.7228571428571424</v>
      </c>
      <c r="G33" s="9">
        <f t="shared" si="8"/>
        <v>-5.8285714285714221</v>
      </c>
      <c r="H33" s="9">
        <f>H27-H11</f>
        <v>-49.333928571428565</v>
      </c>
      <c r="I33" s="9">
        <f t="shared" si="8"/>
        <v>-46.966037500000013</v>
      </c>
    </row>
    <row r="34" spans="1:9" x14ac:dyDescent="0.4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4">
      <c r="A35" s="8"/>
      <c r="B35" s="8" t="s">
        <v>20</v>
      </c>
      <c r="C35" s="8"/>
      <c r="D35" s="10">
        <f>AVERAGE(D31:I31)</f>
        <v>4.2458333333333327</v>
      </c>
      <c r="E35" s="8"/>
      <c r="F35" s="8"/>
      <c r="G35" s="8"/>
      <c r="H35" s="8"/>
      <c r="I3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Kyshalee Vazquez</dc:creator>
  <cp:lastModifiedBy>Kyshalee Vazquez</cp:lastModifiedBy>
  <dcterms:created xsi:type="dcterms:W3CDTF">2026-06-19T20:11:24Z</dcterms:created>
  <dcterms:modified xsi:type="dcterms:W3CDTF">2026-08-13T01:35:07Z</dcterms:modified>
</cp:coreProperties>
</file>